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QA\XNote\"/>
    </mc:Choice>
  </mc:AlternateContent>
  <xr:revisionPtr revIDLastSave="0" documentId="13_ncr:1_{114641A9-A0FB-4AF9-AC28-55AA558A1631}" xr6:coauthVersionLast="47" xr6:coauthVersionMax="47" xr10:uidLastSave="{00000000-0000-0000-0000-000000000000}"/>
  <bookViews>
    <workbookView xWindow="-110" yWindow="-110" windowWidth="19420" windowHeight="11020" xr2:uid="{57F81B09-6D53-4067-A83B-9A58E335B732}"/>
  </bookViews>
  <sheets>
    <sheet name="Test C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B7" i="2"/>
  <c r="C8" i="2"/>
  <c r="C7" i="2"/>
  <c r="C6" i="2"/>
  <c r="C5" i="2"/>
  <c r="C4" i="2"/>
  <c r="B9" i="2"/>
  <c r="B6" i="2"/>
  <c r="B5" i="2"/>
  <c r="B4" i="2"/>
  <c r="B8" i="2"/>
</calcChain>
</file>

<file path=xl/sharedStrings.xml><?xml version="1.0" encoding="utf-8"?>
<sst xmlns="http://schemas.openxmlformats.org/spreadsheetml/2006/main" count="225" uniqueCount="173">
  <si>
    <t>Status</t>
  </si>
  <si>
    <t>Jumlah</t>
  </si>
  <si>
    <t>Persentase</t>
  </si>
  <si>
    <t>Pass</t>
  </si>
  <si>
    <t>Failed</t>
  </si>
  <si>
    <t>Blocked</t>
  </si>
  <si>
    <t>Untested</t>
  </si>
  <si>
    <t>Total</t>
  </si>
  <si>
    <t>Test Steps</t>
  </si>
  <si>
    <t>In Progress</t>
  </si>
  <si>
    <t>Test Case ID</t>
  </si>
  <si>
    <t>Module</t>
  </si>
  <si>
    <t>Test Scenario</t>
  </si>
  <si>
    <t>Pre-Conditions</t>
  </si>
  <si>
    <t>Test Data</t>
  </si>
  <si>
    <t>Expected Result</t>
  </si>
  <si>
    <t>Actual Result</t>
  </si>
  <si>
    <t>TC-XNOTE-001</t>
  </si>
  <si>
    <t>Notes</t>
  </si>
  <si>
    <t>Membuka XNote</t>
  </si>
  <si>
    <t>XNote terinstall</t>
  </si>
  <si>
    <t>-</t>
  </si>
  <si>
    <t>1. Buka XNote</t>
  </si>
  <si>
    <t>Halaman utama tampil</t>
  </si>
  <si>
    <t>Halaman utama XNote berhasil tampil</t>
  </si>
  <si>
    <t>TC-XNOTE-002</t>
  </si>
  <si>
    <t>Membuat catatan baru</t>
  </si>
  <si>
    <t>XNote terbuka</t>
  </si>
  <si>
    <t>Judul: Testing Note
Isi: Hello World</t>
  </si>
  <si>
    <t>1. Buka New Note
2. Masukkan judul
3. Masukkan isi
4. Save</t>
  </si>
  <si>
    <t>Catatan berhasil dibuat</t>
  </si>
  <si>
    <t>Catatan berhasil dibuat dan tersimpan</t>
  </si>
  <si>
    <t>TC-XNOTE-003</t>
  </si>
  <si>
    <t>Mengedit catatan</t>
  </si>
  <si>
    <t>Terdapat minimal 1 catatan</t>
  </si>
  <si>
    <t>Update 
Judul: QA Testing
Isi: by Muhammad Resandi Sholahuddin</t>
  </si>
  <si>
    <t>1. Buka catatan
2. Ubah isi
3. Save</t>
  </si>
  <si>
    <t>Perubahan tersimpan</t>
  </si>
  <si>
    <t>Perubahan catatan berhasil tersimpan</t>
  </si>
  <si>
    <t>TC-XNOTE-004</t>
  </si>
  <si>
    <t>Menghapus catatan</t>
  </si>
  <si>
    <t>Test Note 1</t>
  </si>
  <si>
    <t>1. Pilih catatan
2. Delete
3. Konfirmasi</t>
  </si>
  <si>
    <t>Catatan terhapus</t>
  </si>
  <si>
    <t>Catatan berhasil dihapus dari daftar</t>
  </si>
  <si>
    <t>TC-XNOTE-005</t>
  </si>
  <si>
    <t>Membuat catatan kosong</t>
  </si>
  <si>
    <t>Input kosong</t>
  </si>
  <si>
    <t>1. Buka New Note
2. Tidak mengisi data
3. Save</t>
  </si>
  <si>
    <t>Sistem menangani input kosong sesuai aturan</t>
  </si>
  <si>
    <t>Sistem menangani catatan kosong dengan benar</t>
  </si>
  <si>
    <t>TC-XNOTE-006</t>
  </si>
  <si>
    <t>Menambahkan gambar</t>
  </si>
  <si>
    <t>XNote terbuka, permission tersedia</t>
  </si>
  <si>
    <t>JPG/PNG</t>
  </si>
  <si>
    <t>1. Buka catatan
2. Pilih Image
3. Pilih gambar
4. Save</t>
  </si>
  <si>
    <t>Gambar berhasil ditambahkan</t>
  </si>
  <si>
    <t>Gambar berhasil ditambahkan ke catatan</t>
  </si>
  <si>
    <t>TC-XNOTE-007</t>
  </si>
  <si>
    <t>Menghapus gambar</t>
  </si>
  <si>
    <t>Catatan memiliki gambar</t>
  </si>
  <si>
    <t>1. Buka catatan
2. Pilih gambar
3. Remove</t>
  </si>
  <si>
    <t>Gambar terhapus</t>
  </si>
  <si>
    <t>Gambar berhasil dihapus</t>
  </si>
  <si>
    <t>TC-XNOTE-008</t>
  </si>
  <si>
    <t>Menambahkan gambar menggunakan kamera</t>
  </si>
  <si>
    <t>Camera permission tersedia</t>
  </si>
  <si>
    <t>Foto kamera</t>
  </si>
  <si>
    <t>1. Buka catatan
2. Pilih Camera
3. Ambil foto
4. Simpan</t>
  </si>
  <si>
    <t>Foto berhasil ditambahkan</t>
  </si>
  <si>
    <t>Foto berhasil ditambahkan ke catatan</t>
  </si>
  <si>
    <t>TC-XNOTE-009</t>
  </si>
  <si>
    <t>Search</t>
  </si>
  <si>
    <t>Mencari catatan</t>
  </si>
  <si>
    <t>Terdapat beberapa catatan</t>
  </si>
  <si>
    <t>Keyword: QA</t>
  </si>
  <si>
    <t>1. Buka Search
2. Masukkan QA</t>
  </si>
  <si>
    <t>Catatan sesuai keyword ditampilkan</t>
  </si>
  <si>
    <t>Catatan yang sesuai keyword berhasil ditampilkan</t>
  </si>
  <si>
    <t>TC-XNOTE-010</t>
  </si>
  <si>
    <t>Persistence</t>
  </si>
  <si>
    <t>Data tetap tersedia setelah aplikasi ditutup</t>
  </si>
  <si>
    <t>Terdapat catatan tersimpan</t>
  </si>
  <si>
    <t>Test Persistence</t>
  </si>
  <si>
    <t>1. Buat catatan
2. Save
3. Tutup XNote
4. Buka kembali</t>
  </si>
  <si>
    <t>Catatan tetap tersedia</t>
  </si>
  <si>
    <t>Catatan tetap tersedia setelah aplikasi dibuka kembali</t>
  </si>
  <si>
    <t>TC-XNOTE-011</t>
  </si>
  <si>
    <t>Data tetap tersedia setelah restart HP</t>
  </si>
  <si>
    <t>Restart Test</t>
  </si>
  <si>
    <t>1. Buat catatan
2. Save
3. Restart HP
4. Buka XNote</t>
  </si>
  <si>
    <t>Catatan tetap tersedia setelah HP direstart</t>
  </si>
  <si>
    <t>TC-XNOTE-012</t>
  </si>
  <si>
    <t>Permission</t>
  </si>
  <si>
    <t>Menolak permission media</t>
  </si>
  <si>
    <t>Permission: Deny</t>
  </si>
  <si>
    <t>1. Buka fitur gambar
2. Pilih Deny</t>
  </si>
  <si>
    <t>Aplikasi menangani permission dengan benar</t>
  </si>
  <si>
    <t>Aplikasi menangani permission yang ditolak dengan benar</t>
  </si>
  <si>
    <t>TC-XNOTE-013</t>
  </si>
  <si>
    <t>Menolak permission kamera</t>
  </si>
  <si>
    <t>Camera: Deny</t>
  </si>
  <si>
    <t>1. Buka Camera
2. Pilih Deny</t>
  </si>
  <si>
    <t>Aplikasi memberikan handling sesuai</t>
  </si>
  <si>
    <t>Aplikasi memberikan handling yang sesuai</t>
  </si>
  <si>
    <t>TC-XNOTE-014</t>
  </si>
  <si>
    <t>UI</t>
  </si>
  <si>
    <t>Memeriksa tampilan daftar catatan</t>
  </si>
  <si>
    <t>3–5 catatan</t>
  </si>
  <si>
    <t>1. Buka XNote
2. Periksa daftar</t>
  </si>
  <si>
    <t>Layout tampil dengan benar</t>
  </si>
  <si>
    <t>Daftar catatan tampil dengan baik tanpa masalah UI</t>
  </si>
  <si>
    <t>TC-XNOTE-015</t>
  </si>
  <si>
    <t>Compatibility</t>
  </si>
  <si>
    <t>Mengubah orientasi layar</t>
  </si>
  <si>
    <t>HP mendukung rotasi</t>
  </si>
  <si>
    <t>Portrait/Landscape</t>
  </si>
  <si>
    <t>1. Buka XNote
2. Ubah orientasi</t>
  </si>
  <si>
    <t>UI tetap dapat digunakan</t>
  </si>
  <si>
    <t>UI tetap dapat digunakan tanpa masalah tampilan</t>
  </si>
  <si>
    <t>TC-XNOTE-016</t>
  </si>
  <si>
    <t>Performance</t>
  </si>
  <si>
    <t>1. Tutup XNote
2. Buka kembali</t>
  </si>
  <si>
    <t>Aplikasi terbuka tanpa crash</t>
  </si>
  <si>
    <t>XNote berhasil dibuka tanpa crash</t>
  </si>
  <si>
    <t>TC-XNOTE-017</t>
  </si>
  <si>
    <t>Stability</t>
  </si>
  <si>
    <t>Membuat banyak catatan</t>
  </si>
  <si>
    <t>XNote dapat membuat catatan</t>
  </si>
  <si>
    <t>20 catatan</t>
  </si>
  <si>
    <t>1. Buat banyak catatan
2. Scroll list
3. Buka beberapa catatan</t>
  </si>
  <si>
    <t>Aplikasi tetap stabil</t>
  </si>
  <si>
    <t>Aplikasi tetap responsif dan tidak mengalami crash</t>
  </si>
  <si>
    <t>TC-XNOTE-018</t>
  </si>
  <si>
    <t>Network</t>
  </si>
  <si>
    <t>Intercept upload gambar</t>
  </si>
  <si>
    <t>HP terhubung ke HTTP Toolkit</t>
  </si>
  <si>
    <t>1. Buka HTTP Toolkit
2. Buka XNote
3. Upload gambar
4. Amati traffic</t>
  </si>
  <si>
    <t>Request upload berhasil ditangkap</t>
  </si>
  <si>
    <t>Request POST berhasil ditangkap ketika gambar di-upload</t>
  </si>
  <si>
    <t>TC-XNOTE-019</t>
  </si>
  <si>
    <t>Network/API</t>
  </si>
  <si>
    <t>Memeriksa informasi request upload gambar</t>
  </si>
  <si>
    <t>HTTP Toolkit aktif</t>
  </si>
  <si>
    <t>1. Upload gambar
2. Pilih request POST
3. Periksa URL, header, body dan response</t>
  </si>
  <si>
    <t>Request dapat dianalisis</t>
  </si>
  <si>
    <t>Request POST berhasil ditemukan dan informasi request dapat dianalisis</t>
  </si>
  <si>
    <t>TC-XNOTE-020</t>
  </si>
  <si>
    <t>Membuka dan mengakses note dalam kondisi offline</t>
  </si>
  <si>
    <t>Note yang sudah tersimpan</t>
  </si>
  <si>
    <t>1. Pastikan note sudah dibuat saat online
2. Matikan Wi-Fi dan mobile data
3. Buka XNote
4. Periksa tampilan daftar note
5. Klik salah satu note</t>
  </si>
  <si>
    <t>Daftar note dan isi note yang sudah tersimpan dapat diakses dalam kondisi offline</t>
  </si>
  <si>
    <t>Tampilan daftar note masih dapat dilihat saat offline, tetapi ketika note diklik, isi note tidak dapat dibuka</t>
  </si>
  <si>
    <t>TC-XNOTE-021</t>
  </si>
  <si>
    <t>Recovery</t>
  </si>
  <si>
    <t>Membuka XNote setelah force close</t>
  </si>
  <si>
    <t>Test Recovery</t>
  </si>
  <si>
    <t>1. Buat catatan
2. Force close
3. Buka kembali</t>
  </si>
  <si>
    <t>Data tetap tersedia</t>
  </si>
  <si>
    <t>TC-XNOTE-022</t>
  </si>
  <si>
    <t>Data</t>
  </si>
  <si>
    <t>Memasukkan karakter khusus</t>
  </si>
  <si>
    <t>Judul : Test Note
QA !@#$%^&amp;* 😊 123</t>
  </si>
  <si>
    <t>1. Buat catatan
2. Masukkan karakter
3. Save</t>
  </si>
  <si>
    <t>Karakter tersimpan dan tampil benar</t>
  </si>
  <si>
    <t>Karakter khusus, angka, dan emoji berhasil disimpan dan ditampilkan</t>
  </si>
  <si>
    <t>TC-XNOTE-023</t>
  </si>
  <si>
    <t>Boundary</t>
  </si>
  <si>
    <t>Memasukkan teks panjang</t>
  </si>
  <si>
    <t>Judul : Coba Boundary
Isi : 5.000+ karakter</t>
  </si>
  <si>
    <t>1. Buat catatan
2. Masukkan teks panjang
3. Save</t>
  </si>
  <si>
    <t>Aplikasi menangani teks panjang tanpa crash</t>
  </si>
  <si>
    <t>Teks yang melebihi batas langsung terhapus dan aplikasi tidak menampilkan informasi mengenai batas maksimal karakter yang dapat dimasukkan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</si>
</sst>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0" fontId="1" fillId="3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0" borderId="4" xfId="0" applyFont="1" applyBorder="1"/>
    <xf numFmtId="0" fontId="3" fillId="3" borderId="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0" fontId="1" fillId="3" borderId="3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wrapText="1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57D-885B-4494-BBCD-040583CA4CED}">
  <dimension ref="A3:I35"/>
  <sheetViews>
    <sheetView tabSelected="1" workbookViewId="0">
      <selection activeCell="H7" sqref="H7"/>
    </sheetView>
  </sheetViews>
  <sheetFormatPr defaultRowHeight="14" x14ac:dyDescent="0.3"/>
  <cols>
    <col min="1" max="1" width="13.7265625" style="2" customWidth="1"/>
    <col min="2" max="2" width="15.26953125" style="2" customWidth="1"/>
    <col min="3" max="3" width="18.81640625" style="2" customWidth="1"/>
    <col min="4" max="4" width="16.08984375" style="2" customWidth="1"/>
    <col min="5" max="5" width="17.1796875" style="2" customWidth="1"/>
    <col min="6" max="6" width="15.54296875" style="2" customWidth="1"/>
    <col min="7" max="7" width="21.54296875" style="2" customWidth="1"/>
    <col min="8" max="8" width="17.1796875" style="2" customWidth="1"/>
    <col min="9" max="9" width="14.90625" style="2" customWidth="1"/>
    <col min="10" max="10" width="18.453125" style="2" customWidth="1"/>
    <col min="11" max="11" width="12.81640625" style="2" customWidth="1"/>
    <col min="12" max="16384" width="8.7265625" style="2"/>
  </cols>
  <sheetData>
    <row r="3" spans="1:9" x14ac:dyDescent="0.3">
      <c r="A3" s="1" t="s">
        <v>0</v>
      </c>
      <c r="B3" s="1" t="s">
        <v>1</v>
      </c>
      <c r="C3" s="1" t="s">
        <v>2</v>
      </c>
    </row>
    <row r="4" spans="1:9" x14ac:dyDescent="0.3">
      <c r="A4" s="3" t="s">
        <v>3</v>
      </c>
      <c r="B4" s="3">
        <f>COUNTIF(I13:I35,"Pass")</f>
        <v>21</v>
      </c>
      <c r="C4" s="4">
        <f>COUNTIF(I13:I35,"Pass")/(COUNTIF(I13:I35,"Pass")+COUNTIF(I13:I35,"Failed")+COUNTIF(I13:I35,"Blocked")+COUNTIF(I13:I35,"Untest")+COUNTIF(I13:I35,"In Progress"))</f>
        <v>0.91304347826086951</v>
      </c>
    </row>
    <row r="5" spans="1:9" x14ac:dyDescent="0.3">
      <c r="A5" s="3" t="s">
        <v>4</v>
      </c>
      <c r="B5" s="3">
        <f>COUNTIF(I13:I35,"Failed")</f>
        <v>2</v>
      </c>
      <c r="C5" s="4">
        <f>COUNTIF(I14:I36,"Failed")/(COUNTIF(I14:I36,"Pass")+COUNTIF(I14:I36,"Failed")+COUNTIF(I14:I36,"Blocked")+COUNTIF(I14:I36,"Untest")+COUNTIF(I14:I36,"In Progress"))</f>
        <v>9.0909090909090912E-2</v>
      </c>
    </row>
    <row r="6" spans="1:9" x14ac:dyDescent="0.3">
      <c r="A6" s="3" t="s">
        <v>5</v>
      </c>
      <c r="B6" s="3">
        <f>COUNTIF(I13:I35,"Blocked")</f>
        <v>0</v>
      </c>
      <c r="C6" s="4">
        <f>COUNTIF(I15:I37,"Blocked")/(COUNTIF(I15:I37,"Pass")+COUNTIF(I15:I37,"Failed")+COUNTIF(I15:I37,"Blocked")+COUNTIF(I15:I37,"Untest")+COUNTIF(I15:I37,"In Progress"))</f>
        <v>0</v>
      </c>
    </row>
    <row r="7" spans="1:9" x14ac:dyDescent="0.3">
      <c r="A7" s="6" t="s">
        <v>6</v>
      </c>
      <c r="B7" s="6">
        <f>COUNTIF(I13:I35,"Blocked")</f>
        <v>0</v>
      </c>
      <c r="C7" s="4">
        <f>COUNTIF(I16:I38,"Untested")/(COUNTIF(I16:I38,"Pass")+COUNTIF(I16:I38,"Failed")+COUNTIF(I16:I38,"Blocked")+COUNTIF(I16:I38,"Untest")+COUNTIF(I16:I38,"In Progress"))</f>
        <v>0</v>
      </c>
    </row>
    <row r="8" spans="1:9" x14ac:dyDescent="0.3">
      <c r="A8" s="7" t="s">
        <v>9</v>
      </c>
      <c r="B8" s="9">
        <f>COUNTIF(K59:K59,"In Progress")</f>
        <v>0</v>
      </c>
      <c r="C8" s="4">
        <f>COUNTIF(I17:I39,"In Progress")/(COUNTIF(I17:I39,"Pass")+COUNTIF(I17:I39,"Failed")+COUNTIF(I17:I39,"Blocked")+COUNTIF(I17:I39,"Untest")+COUNTIF(I17:I39,"In Progress"))</f>
        <v>0</v>
      </c>
    </row>
    <row r="9" spans="1:9" x14ac:dyDescent="0.3">
      <c r="A9" s="8" t="s">
        <v>7</v>
      </c>
      <c r="B9" s="9">
        <f>COUNTIF(I13:I35,"Pass")+COUNTIF(I13:I35,"Failed")+COUNTIF(I13:I35,"Blocked")+COUNTIF(I13:I35,"Untested")</f>
        <v>23</v>
      </c>
      <c r="C9" s="10">
        <f>(COUNTIF(I13:I35,"Pass")+COUNTIF(I13:I35,"Failed"))/(COUNTIF(I13:I35,"Pass")+COUNTIF(I13:I35,"Failed")+COUNTIF(I13:I35,"Untested")+COUNTIF(I13:I35,"Blocked"))</f>
        <v>1</v>
      </c>
    </row>
    <row r="12" spans="1:9" x14ac:dyDescent="0.3">
      <c r="A12" s="11" t="s">
        <v>10</v>
      </c>
      <c r="B12" s="11" t="s">
        <v>11</v>
      </c>
      <c r="C12" s="11" t="s">
        <v>12</v>
      </c>
      <c r="D12" s="11" t="s">
        <v>13</v>
      </c>
      <c r="E12" s="11" t="s">
        <v>14</v>
      </c>
      <c r="F12" s="11" t="s">
        <v>8</v>
      </c>
      <c r="G12" s="11" t="s">
        <v>15</v>
      </c>
      <c r="H12" s="11" t="s">
        <v>16</v>
      </c>
      <c r="I12" s="11" t="s">
        <v>0</v>
      </c>
    </row>
    <row r="13" spans="1:9" ht="39" x14ac:dyDescent="0.3">
      <c r="A13" s="12" t="s">
        <v>17</v>
      </c>
      <c r="B13" s="13" t="s">
        <v>18</v>
      </c>
      <c r="C13" s="12" t="s">
        <v>19</v>
      </c>
      <c r="D13" s="12" t="s">
        <v>20</v>
      </c>
      <c r="E13" s="12" t="s">
        <v>21</v>
      </c>
      <c r="F13" s="12" t="s">
        <v>22</v>
      </c>
      <c r="G13" s="12" t="s">
        <v>23</v>
      </c>
      <c r="H13" s="12" t="s">
        <v>24</v>
      </c>
      <c r="I13" s="5" t="s">
        <v>3</v>
      </c>
    </row>
    <row r="14" spans="1:9" ht="117" x14ac:dyDescent="0.3">
      <c r="A14" s="12" t="s">
        <v>25</v>
      </c>
      <c r="B14" s="13" t="s">
        <v>18</v>
      </c>
      <c r="C14" s="12" t="s">
        <v>26</v>
      </c>
      <c r="D14" s="12" t="s">
        <v>27</v>
      </c>
      <c r="E14" s="12" t="s">
        <v>28</v>
      </c>
      <c r="F14" s="12" t="s">
        <v>29</v>
      </c>
      <c r="G14" s="12" t="s">
        <v>30</v>
      </c>
      <c r="H14" s="12" t="s">
        <v>31</v>
      </c>
      <c r="I14" s="5" t="s">
        <v>3</v>
      </c>
    </row>
    <row r="15" spans="1:9" ht="52" x14ac:dyDescent="0.3">
      <c r="A15" s="12" t="s">
        <v>32</v>
      </c>
      <c r="B15" s="13" t="s">
        <v>18</v>
      </c>
      <c r="C15" s="12" t="s">
        <v>33</v>
      </c>
      <c r="D15" s="12" t="s">
        <v>34</v>
      </c>
      <c r="E15" s="12" t="s">
        <v>35</v>
      </c>
      <c r="F15" s="12" t="s">
        <v>36</v>
      </c>
      <c r="G15" s="12" t="s">
        <v>37</v>
      </c>
      <c r="H15" s="12" t="s">
        <v>38</v>
      </c>
      <c r="I15" s="5" t="s">
        <v>3</v>
      </c>
    </row>
    <row r="16" spans="1:9" ht="65" x14ac:dyDescent="0.3">
      <c r="A16" s="12" t="s">
        <v>39</v>
      </c>
      <c r="B16" s="13" t="s">
        <v>18</v>
      </c>
      <c r="C16" s="12" t="s">
        <v>40</v>
      </c>
      <c r="D16" s="12" t="s">
        <v>34</v>
      </c>
      <c r="E16" s="12" t="s">
        <v>41</v>
      </c>
      <c r="F16" s="12" t="s">
        <v>42</v>
      </c>
      <c r="G16" s="12" t="s">
        <v>43</v>
      </c>
      <c r="H16" s="12" t="s">
        <v>44</v>
      </c>
      <c r="I16" s="5" t="s">
        <v>3</v>
      </c>
    </row>
    <row r="17" spans="1:9" ht="78" x14ac:dyDescent="0.3">
      <c r="A17" s="12" t="s">
        <v>45</v>
      </c>
      <c r="B17" s="13" t="s">
        <v>18</v>
      </c>
      <c r="C17" s="12" t="s">
        <v>46</v>
      </c>
      <c r="D17" s="12" t="s">
        <v>27</v>
      </c>
      <c r="E17" s="12" t="s">
        <v>47</v>
      </c>
      <c r="F17" s="12" t="s">
        <v>48</v>
      </c>
      <c r="G17" s="12" t="s">
        <v>49</v>
      </c>
      <c r="H17" s="12" t="s">
        <v>50</v>
      </c>
      <c r="I17" s="5" t="s">
        <v>3</v>
      </c>
    </row>
    <row r="18" spans="1:9" ht="91" x14ac:dyDescent="0.3">
      <c r="A18" s="12" t="s">
        <v>51</v>
      </c>
      <c r="B18" s="13" t="s">
        <v>18</v>
      </c>
      <c r="C18" s="12" t="s">
        <v>52</v>
      </c>
      <c r="D18" s="12" t="s">
        <v>53</v>
      </c>
      <c r="E18" s="12" t="s">
        <v>54</v>
      </c>
      <c r="F18" s="12" t="s">
        <v>55</v>
      </c>
      <c r="G18" s="12" t="s">
        <v>56</v>
      </c>
      <c r="H18" s="12" t="s">
        <v>57</v>
      </c>
      <c r="I18" s="5" t="s">
        <v>3</v>
      </c>
    </row>
    <row r="19" spans="1:9" ht="65" x14ac:dyDescent="0.3">
      <c r="A19" s="12" t="s">
        <v>58</v>
      </c>
      <c r="B19" s="13" t="s">
        <v>18</v>
      </c>
      <c r="C19" s="12" t="s">
        <v>59</v>
      </c>
      <c r="D19" s="12" t="s">
        <v>60</v>
      </c>
      <c r="E19" s="12" t="s">
        <v>54</v>
      </c>
      <c r="F19" s="12" t="s">
        <v>61</v>
      </c>
      <c r="G19" s="12" t="s">
        <v>62</v>
      </c>
      <c r="H19" s="12" t="s">
        <v>63</v>
      </c>
      <c r="I19" s="5" t="s">
        <v>3</v>
      </c>
    </row>
    <row r="20" spans="1:9" ht="91" x14ac:dyDescent="0.3">
      <c r="A20" s="12" t="s">
        <v>64</v>
      </c>
      <c r="B20" s="13" t="s">
        <v>18</v>
      </c>
      <c r="C20" s="12" t="s">
        <v>65</v>
      </c>
      <c r="D20" s="12" t="s">
        <v>66</v>
      </c>
      <c r="E20" s="12" t="s">
        <v>67</v>
      </c>
      <c r="F20" s="12" t="s">
        <v>68</v>
      </c>
      <c r="G20" s="12" t="s">
        <v>69</v>
      </c>
      <c r="H20" s="12" t="s">
        <v>70</v>
      </c>
      <c r="I20" s="5" t="s">
        <v>3</v>
      </c>
    </row>
    <row r="21" spans="1:9" ht="65" x14ac:dyDescent="0.3">
      <c r="A21" s="12" t="s">
        <v>71</v>
      </c>
      <c r="B21" s="13" t="s">
        <v>72</v>
      </c>
      <c r="C21" s="12" t="s">
        <v>73</v>
      </c>
      <c r="D21" s="12" t="s">
        <v>74</v>
      </c>
      <c r="E21" s="12" t="s">
        <v>75</v>
      </c>
      <c r="F21" s="12" t="s">
        <v>76</v>
      </c>
      <c r="G21" s="12" t="s">
        <v>77</v>
      </c>
      <c r="H21" s="12" t="s">
        <v>78</v>
      </c>
      <c r="I21" s="5" t="s">
        <v>3</v>
      </c>
    </row>
    <row r="22" spans="1:9" ht="91" x14ac:dyDescent="0.3">
      <c r="A22" s="12" t="s">
        <v>79</v>
      </c>
      <c r="B22" s="13" t="s">
        <v>80</v>
      </c>
      <c r="C22" s="12" t="s">
        <v>81</v>
      </c>
      <c r="D22" s="12" t="s">
        <v>82</v>
      </c>
      <c r="E22" s="12" t="s">
        <v>83</v>
      </c>
      <c r="F22" s="12" t="s">
        <v>84</v>
      </c>
      <c r="G22" s="12" t="s">
        <v>85</v>
      </c>
      <c r="H22" s="12" t="s">
        <v>86</v>
      </c>
      <c r="I22" s="5" t="s">
        <v>3</v>
      </c>
    </row>
    <row r="23" spans="1:9" ht="91" x14ac:dyDescent="0.3">
      <c r="A23" s="12" t="s">
        <v>87</v>
      </c>
      <c r="B23" s="13" t="s">
        <v>80</v>
      </c>
      <c r="C23" s="12" t="s">
        <v>88</v>
      </c>
      <c r="D23" s="12" t="s">
        <v>82</v>
      </c>
      <c r="E23" s="12" t="s">
        <v>89</v>
      </c>
      <c r="F23" s="12" t="s">
        <v>90</v>
      </c>
      <c r="G23" s="12" t="s">
        <v>85</v>
      </c>
      <c r="H23" s="12" t="s">
        <v>91</v>
      </c>
      <c r="I23" s="5" t="s">
        <v>3</v>
      </c>
    </row>
    <row r="24" spans="1:9" ht="65" x14ac:dyDescent="0.3">
      <c r="A24" s="12" t="s">
        <v>92</v>
      </c>
      <c r="B24" s="13" t="s">
        <v>93</v>
      </c>
      <c r="C24" s="12" t="s">
        <v>94</v>
      </c>
      <c r="D24" s="12" t="s">
        <v>20</v>
      </c>
      <c r="E24" s="12" t="s">
        <v>95</v>
      </c>
      <c r="F24" s="12" t="s">
        <v>96</v>
      </c>
      <c r="G24" s="12" t="s">
        <v>97</v>
      </c>
      <c r="H24" s="12" t="s">
        <v>98</v>
      </c>
      <c r="I24" s="5" t="s">
        <v>3</v>
      </c>
    </row>
    <row r="25" spans="1:9" ht="52" x14ac:dyDescent="0.3">
      <c r="A25" s="12" t="s">
        <v>99</v>
      </c>
      <c r="B25" s="13" t="s">
        <v>93</v>
      </c>
      <c r="C25" s="12" t="s">
        <v>100</v>
      </c>
      <c r="D25" s="12" t="s">
        <v>20</v>
      </c>
      <c r="E25" s="12" t="s">
        <v>101</v>
      </c>
      <c r="F25" s="12" t="s">
        <v>102</v>
      </c>
      <c r="G25" s="12" t="s">
        <v>103</v>
      </c>
      <c r="H25" s="12" t="s">
        <v>104</v>
      </c>
      <c r="I25" s="5" t="s">
        <v>3</v>
      </c>
    </row>
    <row r="26" spans="1:9" ht="52" x14ac:dyDescent="0.3">
      <c r="A26" s="12" t="s">
        <v>105</v>
      </c>
      <c r="B26" s="13" t="s">
        <v>106</v>
      </c>
      <c r="C26" s="12" t="s">
        <v>107</v>
      </c>
      <c r="D26" s="12" t="s">
        <v>74</v>
      </c>
      <c r="E26" s="12" t="s">
        <v>108</v>
      </c>
      <c r="F26" s="12" t="s">
        <v>109</v>
      </c>
      <c r="G26" s="12" t="s">
        <v>110</v>
      </c>
      <c r="H26" s="12" t="s">
        <v>111</v>
      </c>
      <c r="I26" s="5" t="s">
        <v>3</v>
      </c>
    </row>
    <row r="27" spans="1:9" ht="52" x14ac:dyDescent="0.3">
      <c r="A27" s="12" t="s">
        <v>112</v>
      </c>
      <c r="B27" s="13" t="s">
        <v>113</v>
      </c>
      <c r="C27" s="12" t="s">
        <v>114</v>
      </c>
      <c r="D27" s="12" t="s">
        <v>115</v>
      </c>
      <c r="E27" s="12" t="s">
        <v>116</v>
      </c>
      <c r="F27" s="12" t="s">
        <v>117</v>
      </c>
      <c r="G27" s="12" t="s">
        <v>118</v>
      </c>
      <c r="H27" s="12" t="s">
        <v>119</v>
      </c>
      <c r="I27" s="5" t="s">
        <v>3</v>
      </c>
    </row>
    <row r="28" spans="1:9" ht="52" x14ac:dyDescent="0.3">
      <c r="A28" s="12" t="s">
        <v>120</v>
      </c>
      <c r="B28" s="13" t="s">
        <v>121</v>
      </c>
      <c r="C28" s="12" t="s">
        <v>19</v>
      </c>
      <c r="D28" s="12" t="s">
        <v>20</v>
      </c>
      <c r="E28" s="12" t="s">
        <v>21</v>
      </c>
      <c r="F28" s="12" t="s">
        <v>122</v>
      </c>
      <c r="G28" s="12" t="s">
        <v>123</v>
      </c>
      <c r="H28" s="12" t="s">
        <v>124</v>
      </c>
      <c r="I28" s="5" t="s">
        <v>3</v>
      </c>
    </row>
    <row r="29" spans="1:9" ht="91" x14ac:dyDescent="0.3">
      <c r="A29" s="12" t="s">
        <v>125</v>
      </c>
      <c r="B29" s="13" t="s">
        <v>126</v>
      </c>
      <c r="C29" s="12" t="s">
        <v>127</v>
      </c>
      <c r="D29" s="12" t="s">
        <v>128</v>
      </c>
      <c r="E29" s="12" t="s">
        <v>129</v>
      </c>
      <c r="F29" s="12" t="s">
        <v>130</v>
      </c>
      <c r="G29" s="12" t="s">
        <v>131</v>
      </c>
      <c r="H29" s="12" t="s">
        <v>132</v>
      </c>
      <c r="I29" s="5" t="s">
        <v>3</v>
      </c>
    </row>
    <row r="30" spans="1:9" ht="117" x14ac:dyDescent="0.3">
      <c r="A30" s="12" t="s">
        <v>133</v>
      </c>
      <c r="B30" s="13" t="s">
        <v>134</v>
      </c>
      <c r="C30" s="12" t="s">
        <v>135</v>
      </c>
      <c r="D30" s="12" t="s">
        <v>136</v>
      </c>
      <c r="E30" s="12" t="s">
        <v>54</v>
      </c>
      <c r="F30" s="12" t="s">
        <v>137</v>
      </c>
      <c r="G30" s="12" t="s">
        <v>138</v>
      </c>
      <c r="H30" s="12" t="s">
        <v>139</v>
      </c>
      <c r="I30" s="5" t="s">
        <v>3</v>
      </c>
    </row>
    <row r="31" spans="1:9" ht="130" x14ac:dyDescent="0.3">
      <c r="A31" s="12" t="s">
        <v>140</v>
      </c>
      <c r="B31" s="13" t="s">
        <v>141</v>
      </c>
      <c r="C31" s="12" t="s">
        <v>142</v>
      </c>
      <c r="D31" s="12" t="s">
        <v>143</v>
      </c>
      <c r="E31" s="12" t="s">
        <v>54</v>
      </c>
      <c r="F31" s="12" t="s">
        <v>144</v>
      </c>
      <c r="G31" s="12" t="s">
        <v>145</v>
      </c>
      <c r="H31" s="12" t="s">
        <v>146</v>
      </c>
      <c r="I31" s="5" t="s">
        <v>3</v>
      </c>
    </row>
    <row r="32" spans="1:9" ht="195" x14ac:dyDescent="0.3">
      <c r="A32" s="12" t="s">
        <v>147</v>
      </c>
      <c r="B32" s="13" t="s">
        <v>134</v>
      </c>
      <c r="C32" s="14" t="s">
        <v>148</v>
      </c>
      <c r="D32" s="12" t="s">
        <v>27</v>
      </c>
      <c r="E32" s="12" t="s">
        <v>149</v>
      </c>
      <c r="F32" s="15" t="s">
        <v>150</v>
      </c>
      <c r="G32" s="16" t="s">
        <v>151</v>
      </c>
      <c r="H32" s="17" t="s">
        <v>152</v>
      </c>
      <c r="I32" s="5" t="s">
        <v>4</v>
      </c>
    </row>
    <row r="33" spans="1:9" ht="78" x14ac:dyDescent="0.3">
      <c r="A33" s="12" t="s">
        <v>153</v>
      </c>
      <c r="B33" s="13" t="s">
        <v>154</v>
      </c>
      <c r="C33" s="12" t="s">
        <v>155</v>
      </c>
      <c r="D33" s="12" t="s">
        <v>82</v>
      </c>
      <c r="E33" s="12" t="s">
        <v>156</v>
      </c>
      <c r="F33" s="12" t="s">
        <v>157</v>
      </c>
      <c r="G33" s="12" t="s">
        <v>158</v>
      </c>
      <c r="H33" s="12" t="s">
        <v>86</v>
      </c>
      <c r="I33" s="5" t="s">
        <v>3</v>
      </c>
    </row>
    <row r="34" spans="1:9" ht="78" x14ac:dyDescent="0.3">
      <c r="A34" s="12" t="s">
        <v>159</v>
      </c>
      <c r="B34" s="13" t="s">
        <v>160</v>
      </c>
      <c r="C34" s="12" t="s">
        <v>161</v>
      </c>
      <c r="D34" s="12" t="s">
        <v>27</v>
      </c>
      <c r="E34" s="12" t="s">
        <v>162</v>
      </c>
      <c r="F34" s="12" t="s">
        <v>163</v>
      </c>
      <c r="G34" s="12" t="s">
        <v>164</v>
      </c>
      <c r="H34" s="12" t="s">
        <v>165</v>
      </c>
      <c r="I34" s="5" t="s">
        <v>3</v>
      </c>
    </row>
    <row r="35" spans="1:9" ht="117" x14ac:dyDescent="0.3">
      <c r="A35" s="12" t="s">
        <v>166</v>
      </c>
      <c r="B35" s="13" t="s">
        <v>167</v>
      </c>
      <c r="C35" s="12" t="s">
        <v>168</v>
      </c>
      <c r="D35" s="12" t="s">
        <v>27</v>
      </c>
      <c r="E35" s="12" t="s">
        <v>169</v>
      </c>
      <c r="F35" s="12" t="s">
        <v>170</v>
      </c>
      <c r="G35" s="12" t="s">
        <v>171</v>
      </c>
      <c r="H35" s="18" t="s">
        <v>172</v>
      </c>
      <c r="I35" s="5" t="s">
        <v>4</v>
      </c>
    </row>
  </sheetData>
  <conditionalFormatting sqref="I13:I33">
    <cfRule type="cellIs" dxfId="8" priority="7" operator="equal">
      <formula>"In Progress"</formula>
    </cfRule>
  </conditionalFormatting>
  <conditionalFormatting sqref="I13:I33">
    <cfRule type="cellIs" dxfId="7" priority="8" operator="equal">
      <formula>"Failed"</formula>
    </cfRule>
    <cfRule type="cellIs" dxfId="6" priority="9" operator="equal">
      <formula>"Pass"</formula>
    </cfRule>
  </conditionalFormatting>
  <conditionalFormatting sqref="I34">
    <cfRule type="cellIs" dxfId="5" priority="4" operator="equal">
      <formula>"In Progress"</formula>
    </cfRule>
  </conditionalFormatting>
  <conditionalFormatting sqref="I34">
    <cfRule type="cellIs" dxfId="4" priority="5" operator="equal">
      <formula>"Failed"</formula>
    </cfRule>
    <cfRule type="cellIs" dxfId="3" priority="6" operator="equal">
      <formula>"Pass"</formula>
    </cfRule>
  </conditionalFormatting>
  <conditionalFormatting sqref="I35">
    <cfRule type="cellIs" dxfId="2" priority="1" operator="equal">
      <formula>"In Progress"</formula>
    </cfRule>
  </conditionalFormatting>
  <conditionalFormatting sqref="I35">
    <cfRule type="cellIs" dxfId="1" priority="2" operator="equal">
      <formula>"Failed"</formula>
    </cfRule>
    <cfRule type="cellIs" dxfId="0" priority="3" operator="equal">
      <formula>"Pass"</formula>
    </cfRule>
  </conditionalFormatting>
  <dataValidations count="1">
    <dataValidation type="list" allowBlank="1" showErrorMessage="1" sqref="I13:I35" xr:uid="{6971035E-E535-45B1-A69C-C5074868E56E}">
      <formula1>"Pass,Failed,Untested,Blocked,In Progress"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woke oke</dc:creator>
  <cp:lastModifiedBy>woke oke</cp:lastModifiedBy>
  <dcterms:created xsi:type="dcterms:W3CDTF">2026-10-04T03:33:30Z</dcterms:created>
  <dcterms:modified xsi:type="dcterms:W3CDTF">2026-10-08T10:42:24Z</dcterms:modified>
</cp:coreProperties>
</file>